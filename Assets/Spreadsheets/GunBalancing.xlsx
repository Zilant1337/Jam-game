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ilant\Unity Projects SSD\Jam Game\Assets\Spreadsheets\"/>
    </mc:Choice>
  </mc:AlternateContent>
  <xr:revisionPtr revIDLastSave="0" documentId="13_ncr:1_{C9010977-45C8-48D3-8B93-CA76D475909B}" xr6:coauthVersionLast="47" xr6:coauthVersionMax="47" xr10:uidLastSave="{00000000-0000-0000-0000-000000000000}"/>
  <bookViews>
    <workbookView xWindow="2775" yWindow="3000" windowWidth="24210" windowHeight="9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I4" i="1"/>
  <c r="J4" i="1"/>
  <c r="K4" i="1" s="1"/>
  <c r="G5" i="1"/>
  <c r="H5" i="1" s="1"/>
  <c r="I5" i="1"/>
  <c r="J5" i="1"/>
  <c r="K5" i="1" s="1"/>
  <c r="G2" i="1"/>
  <c r="H2" i="1" s="1"/>
  <c r="I2" i="1"/>
  <c r="J2" i="1"/>
  <c r="K2" i="1" s="1"/>
  <c r="G3" i="1"/>
  <c r="H3" i="1" s="1"/>
  <c r="I3" i="1"/>
  <c r="J3" i="1"/>
  <c r="K3" i="1" s="1"/>
  <c r="G12" i="1"/>
  <c r="H12" i="1" s="1"/>
  <c r="I12" i="1"/>
  <c r="J12" i="1"/>
  <c r="K12" i="1" s="1"/>
  <c r="G11" i="1"/>
  <c r="H11" i="1" s="1"/>
  <c r="I11" i="1"/>
  <c r="J11" i="1"/>
  <c r="K11" i="1" s="1"/>
  <c r="G7" i="1"/>
  <c r="H7" i="1" s="1"/>
  <c r="I7" i="1"/>
  <c r="J7" i="1"/>
  <c r="K7" i="1" s="1"/>
  <c r="G8" i="1"/>
  <c r="H8" i="1" s="1"/>
  <c r="G6" i="1"/>
  <c r="H6" i="1" s="1"/>
  <c r="G10" i="1"/>
  <c r="H10" i="1" s="1"/>
  <c r="G9" i="1"/>
  <c r="H9" i="1" s="1"/>
  <c r="J8" i="1"/>
  <c r="K8" i="1" s="1"/>
  <c r="J6" i="1"/>
  <c r="K6" i="1" s="1"/>
  <c r="J10" i="1"/>
  <c r="K10" i="1" s="1"/>
  <c r="J9" i="1"/>
  <c r="K9" i="1" s="1"/>
  <c r="I9" i="1"/>
  <c r="I8" i="1"/>
  <c r="I6" i="1"/>
  <c r="I10" i="1"/>
</calcChain>
</file>

<file path=xl/sharedStrings.xml><?xml version="1.0" encoding="utf-8"?>
<sst xmlns="http://schemas.openxmlformats.org/spreadsheetml/2006/main" count="22" uniqueCount="22">
  <si>
    <t>Name</t>
  </si>
  <si>
    <t>Fire rate</t>
  </si>
  <si>
    <t>Bullets/Shot</t>
  </si>
  <si>
    <t>Damage/Bullet</t>
  </si>
  <si>
    <t>DPS</t>
  </si>
  <si>
    <t>Sniper rifle</t>
  </si>
  <si>
    <t>Shotgun</t>
  </si>
  <si>
    <t>SMG</t>
  </si>
  <si>
    <t>Pistol</t>
  </si>
  <si>
    <t>Mag size</t>
  </si>
  <si>
    <t>Damage per mag</t>
  </si>
  <si>
    <t>Mag count</t>
  </si>
  <si>
    <t>Damage per rearm</t>
  </si>
  <si>
    <t>Total ammo count</t>
  </si>
  <si>
    <t>Spare ammo count</t>
  </si>
  <si>
    <t>AR</t>
  </si>
  <si>
    <t>Bolter</t>
  </si>
  <si>
    <t>GL</t>
  </si>
  <si>
    <t>MG</t>
  </si>
  <si>
    <t>Revolver</t>
  </si>
  <si>
    <t>Super Shotgun</t>
  </si>
  <si>
    <t>Auto Shotgun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</si>
</sst>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1795C-B8BE-4D83-98EB-3638F860B024}" name="Table1" displayName="Table1" ref="A1:K12" totalsRowShown="0">
  <autoFilter ref="A1:K12" xr:uid="{A6E1795C-B8BE-4D83-98EB-3638F860B024}"/>
  <sortState xmlns:xlrd2="http://schemas.microsoft.com/office/spreadsheetml/2017/richdata2" ref="A2:K12">
    <sortCondition descending="1" ref="K1:K12"/>
  </sortState>
  <tableColumns count="11">
    <tableColumn id="1" xr3:uid="{1A0B763C-6775-455F-A197-9AB6F519E7CD}" name="Name"/>
    <tableColumn id="2" xr3:uid="{A05A5E0A-535D-4FF7-A7DF-E8BA034DF865}" name="Damage/Bullet"/>
    <tableColumn id="3" xr3:uid="{1D3BF864-0ACE-4161-AE7F-F8059E2929AB}" name="Fire rate"/>
    <tableColumn id="4" xr3:uid="{54FA7190-3A01-4900-8896-7ECBE5F2B001}" name="Bullets/Shot"/>
    <tableColumn id="6" xr3:uid="{21CBDCD8-D87A-425D-A824-26263FE395B9}" name="Mag size"/>
    <tableColumn id="8" xr3:uid="{D4CDCDB1-AB63-46BA-A487-5E8206D2F9E1}" name="Mag count"/>
    <tableColumn id="11" xr3:uid="{6B6D3C5F-49E9-4742-BF69-34AE1A9C53B3}" name="Spare ammo count" dataDxfId="4">
      <calculatedColumnFormula>Table1[[#This Row],[Mag size]]*Table1[[#This Row],[Mag count]]</calculatedColumnFormula>
    </tableColumn>
    <tableColumn id="10" xr3:uid="{3136763A-E7B4-4737-8D7B-5551B327F9C1}" name="Total ammo count" dataDxfId="3">
      <calculatedColumnFormula>Table1[[#This Row],[Mag size]]+Table1[[#This Row],[Spare ammo count]]</calculatedColumnFormula>
    </tableColumn>
    <tableColumn id="5" xr3:uid="{2E765636-6761-4DD2-AC4B-A67DB815DB20}" name="DPS" dataDxfId="2">
      <calculatedColumnFormula>Table1[[#This Row],[Damage/Bullet]]*Table1[[#This Row],[Bullets/Shot]]/Table1[[#This Row],[Fire rate]]</calculatedColumnFormula>
    </tableColumn>
    <tableColumn id="7" xr3:uid="{EB559151-FD07-4F49-B080-7CD123C7CBB5}" name="Damage per mag" dataDxfId="1">
      <calculatedColumnFormula>Table1[[#This Row],[Damage/Bullet]]*Table1[[#This Row],[Bullets/Shot]]*Table1[[#This Row],[Mag size]]</calculatedColumnFormula>
    </tableColumn>
    <tableColumn id="9" xr3:uid="{2D973EAE-7FBD-4D23-A593-979D1D4AD654}" name="Damage per rearm" dataDxfId="0">
      <calculatedColumnFormula>Table1[[#This Row],[Damage per mag]]*Table1[[#This Row],[Mag count]]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15" zoomScaleNormal="115" workbookViewId="0">
      <selection activeCell="B7" sqref="B7"/>
    </sheetView>
  </sheetViews>
  <sheetFormatPr defaultRowHeight="15" x14ac:dyDescent="0.25"/>
  <cols>
    <col min="1" max="1" width="18" customWidth="1"/>
    <col min="2" max="2" width="16.42578125" customWidth="1"/>
    <col min="3" max="3" width="10.5703125" customWidth="1"/>
    <col min="4" max="4" width="14.140625" customWidth="1"/>
    <col min="5" max="5" width="11.85546875" customWidth="1"/>
    <col min="6" max="6" width="15.5703125" customWidth="1"/>
    <col min="7" max="7" width="20.42578125" customWidth="1"/>
    <col min="8" max="8" width="19.42578125" customWidth="1"/>
    <col min="9" max="9" width="21" customWidth="1"/>
    <col min="10" max="10" width="17.5703125" customWidth="1"/>
    <col min="11" max="11" width="20.28515625" customWidth="1"/>
  </cols>
  <sheetData>
    <row r="1" spans="1:11" x14ac:dyDescent="0.25">
      <c r="A1" t="s">
        <v>0</v>
      </c>
      <c r="B1" t="s">
        <v>3</v>
      </c>
      <c r="C1" t="s">
        <v>1</v>
      </c>
      <c r="D1" t="s">
        <v>2</v>
      </c>
      <c r="E1" t="s">
        <v>9</v>
      </c>
      <c r="F1" t="s">
        <v>11</v>
      </c>
      <c r="G1" t="s">
        <v>14</v>
      </c>
      <c r="H1" t="s">
        <v>13</v>
      </c>
      <c r="I1" t="s">
        <v>4</v>
      </c>
      <c r="J1" t="s">
        <v>10</v>
      </c>
      <c r="K1" t="s">
        <v>12</v>
      </c>
    </row>
    <row r="2" spans="1:11" x14ac:dyDescent="0.25">
      <c r="A2" t="s">
        <v>19</v>
      </c>
      <c r="B2">
        <v>300</v>
      </c>
      <c r="C2">
        <v>0.5</v>
      </c>
      <c r="D2">
        <v>1</v>
      </c>
      <c r="E2">
        <v>6</v>
      </c>
      <c r="F2">
        <v>5</v>
      </c>
      <c r="G2" s="1">
        <f>Table1[[#This Row],[Mag size]]*Table1[[#This Row],[Mag count]]</f>
        <v>30</v>
      </c>
      <c r="H2" s="1">
        <f>Table1[[#This Row],[Mag size]]+Table1[[#This Row],[Spare ammo count]]</f>
        <v>36</v>
      </c>
      <c r="I2" s="1">
        <f>Table1[[#This Row],[Damage/Bullet]]*Table1[[#This Row],[Bullets/Shot]]/Table1[[#This Row],[Fire rate]]</f>
        <v>600</v>
      </c>
      <c r="J2" s="1">
        <f>Table1[[#This Row],[Damage/Bullet]]*Table1[[#This Row],[Bullets/Shot]]*Table1[[#This Row],[Mag size]]</f>
        <v>1800</v>
      </c>
      <c r="K2" s="1">
        <f>Table1[[#This Row],[Damage per mag]]*Table1[[#This Row],[Mag count]]</f>
        <v>9000</v>
      </c>
    </row>
    <row r="3" spans="1:11" x14ac:dyDescent="0.25">
      <c r="A3" t="s">
        <v>18</v>
      </c>
      <c r="B3">
        <v>25</v>
      </c>
      <c r="C3">
        <v>7.5999999999999998E-2</v>
      </c>
      <c r="D3">
        <v>1</v>
      </c>
      <c r="E3">
        <v>100</v>
      </c>
      <c r="F3">
        <v>3</v>
      </c>
      <c r="G3" s="1">
        <f>Table1[[#This Row],[Mag size]]*Table1[[#This Row],[Mag count]]</f>
        <v>300</v>
      </c>
      <c r="H3" s="1">
        <f>Table1[[#This Row],[Mag size]]+Table1[[#This Row],[Spare ammo count]]</f>
        <v>400</v>
      </c>
      <c r="I3" s="1">
        <f>Table1[[#This Row],[Damage/Bullet]]*Table1[[#This Row],[Bullets/Shot]]/Table1[[#This Row],[Fire rate]]</f>
        <v>328.94736842105266</v>
      </c>
      <c r="J3" s="1">
        <f>Table1[[#This Row],[Damage/Bullet]]*Table1[[#This Row],[Bullets/Shot]]*Table1[[#This Row],[Mag size]]</f>
        <v>2500</v>
      </c>
      <c r="K3" s="1">
        <f>Table1[[#This Row],[Damage per mag]]*Table1[[#This Row],[Mag count]]</f>
        <v>7500</v>
      </c>
    </row>
    <row r="4" spans="1:11" x14ac:dyDescent="0.25">
      <c r="A4" t="s">
        <v>21</v>
      </c>
      <c r="B4">
        <v>15</v>
      </c>
      <c r="C4">
        <v>0.3</v>
      </c>
      <c r="D4">
        <v>5</v>
      </c>
      <c r="E4">
        <v>20</v>
      </c>
      <c r="F4">
        <v>5</v>
      </c>
      <c r="G4" s="1">
        <f>Table1[[#This Row],[Mag size]]*Table1[[#This Row],[Mag count]]</f>
        <v>100</v>
      </c>
      <c r="H4" s="1">
        <f>Table1[[#This Row],[Mag size]]+Table1[[#This Row],[Spare ammo count]]</f>
        <v>120</v>
      </c>
      <c r="I4" s="1">
        <f>Table1[[#This Row],[Damage/Bullet]]*Table1[[#This Row],[Bullets/Shot]]/Table1[[#This Row],[Fire rate]]</f>
        <v>250</v>
      </c>
      <c r="J4" s="1">
        <f>Table1[[#This Row],[Damage/Bullet]]*Table1[[#This Row],[Bullets/Shot]]*Table1[[#This Row],[Mag size]]</f>
        <v>1500</v>
      </c>
      <c r="K4" s="1">
        <f>Table1[[#This Row],[Damage per mag]]*Table1[[#This Row],[Mag count]]</f>
        <v>7500</v>
      </c>
    </row>
    <row r="5" spans="1:11" x14ac:dyDescent="0.25">
      <c r="A5" t="s">
        <v>20</v>
      </c>
      <c r="B5">
        <v>25</v>
      </c>
      <c r="C5">
        <v>0.9</v>
      </c>
      <c r="D5">
        <v>14</v>
      </c>
      <c r="E5">
        <v>2</v>
      </c>
      <c r="F5">
        <v>10</v>
      </c>
      <c r="G5" s="1">
        <f>Table1[[#This Row],[Mag size]]*Table1[[#This Row],[Mag count]]</f>
        <v>20</v>
      </c>
      <c r="H5" s="1">
        <f>Table1[[#This Row],[Mag size]]+Table1[[#This Row],[Spare ammo count]]</f>
        <v>22</v>
      </c>
      <c r="I5" s="1">
        <f>Table1[[#This Row],[Damage/Bullet]]*Table1[[#This Row],[Bullets/Shot]]/Table1[[#This Row],[Fire rate]]</f>
        <v>388.88888888888886</v>
      </c>
      <c r="J5" s="1">
        <f>Table1[[#This Row],[Damage/Bullet]]*Table1[[#This Row],[Bullets/Shot]]*Table1[[#This Row],[Mag size]]</f>
        <v>700</v>
      </c>
      <c r="K5" s="1">
        <f>Table1[[#This Row],[Damage per mag]]*Table1[[#This Row],[Mag count]]</f>
        <v>7000</v>
      </c>
    </row>
    <row r="6" spans="1:11" x14ac:dyDescent="0.25">
      <c r="A6" t="s">
        <v>6</v>
      </c>
      <c r="B6">
        <v>15</v>
      </c>
      <c r="C6">
        <v>0.3</v>
      </c>
      <c r="D6">
        <v>7</v>
      </c>
      <c r="E6">
        <v>5</v>
      </c>
      <c r="F6">
        <v>6</v>
      </c>
      <c r="G6">
        <f>Table1[[#This Row],[Mag size]]*Table1[[#This Row],[Mag count]]</f>
        <v>30</v>
      </c>
      <c r="H6">
        <f>Table1[[#This Row],[Mag size]]+Table1[[#This Row],[Spare ammo count]]</f>
        <v>35</v>
      </c>
      <c r="I6">
        <f>Table1[[#This Row],[Damage/Bullet]]*Table1[[#This Row],[Bullets/Shot]]/Table1[[#This Row],[Fire rate]]</f>
        <v>350</v>
      </c>
      <c r="J6">
        <f>Table1[[#This Row],[Damage/Bullet]]*Table1[[#This Row],[Bullets/Shot]]*Table1[[#This Row],[Mag size]]</f>
        <v>525</v>
      </c>
      <c r="K6">
        <f>Table1[[#This Row],[Damage per mag]]*Table1[[#This Row],[Mag count]]</f>
        <v>3150</v>
      </c>
    </row>
    <row r="7" spans="1:11" x14ac:dyDescent="0.25">
      <c r="A7" t="s">
        <v>15</v>
      </c>
      <c r="B7">
        <v>34</v>
      </c>
      <c r="C7">
        <v>0.1</v>
      </c>
      <c r="D7">
        <v>1</v>
      </c>
      <c r="E7">
        <v>30</v>
      </c>
      <c r="F7">
        <v>5</v>
      </c>
      <c r="G7" s="1">
        <f>Table1[[#This Row],[Mag size]]*Table1[[#This Row],[Mag count]]</f>
        <v>150</v>
      </c>
      <c r="H7" s="1">
        <f>Table1[[#This Row],[Mag size]]+Table1[[#This Row],[Spare ammo count]]</f>
        <v>180</v>
      </c>
      <c r="I7" s="1">
        <f>Table1[[#This Row],[Damage/Bullet]]*Table1[[#This Row],[Bullets/Shot]]/Table1[[#This Row],[Fire rate]]</f>
        <v>340</v>
      </c>
      <c r="J7" s="1">
        <f>Table1[[#This Row],[Damage/Bullet]]*Table1[[#This Row],[Bullets/Shot]]*Table1[[#This Row],[Mag size]]</f>
        <v>1020</v>
      </c>
      <c r="K7" s="1">
        <f>Table1[[#This Row],[Damage per mag]]*Table1[[#This Row],[Mag count]]</f>
        <v>5100</v>
      </c>
    </row>
    <row r="8" spans="1:11" x14ac:dyDescent="0.25">
      <c r="A8" t="s">
        <v>5</v>
      </c>
      <c r="B8">
        <v>200</v>
      </c>
      <c r="C8">
        <v>2</v>
      </c>
      <c r="D8">
        <v>1</v>
      </c>
      <c r="E8">
        <v>5</v>
      </c>
      <c r="F8">
        <v>5</v>
      </c>
      <c r="G8">
        <f>Table1[[#This Row],[Mag size]]*Table1[[#This Row],[Mag count]]</f>
        <v>25</v>
      </c>
      <c r="H8">
        <f>Table1[[#This Row],[Mag size]]+Table1[[#This Row],[Spare ammo count]]</f>
        <v>30</v>
      </c>
      <c r="I8">
        <f>Table1[[#This Row],[Damage/Bullet]]*Table1[[#This Row],[Bullets/Shot]]/Table1[[#This Row],[Fire rate]]</f>
        <v>100</v>
      </c>
      <c r="J8">
        <f>Table1[[#This Row],[Damage/Bullet]]*Table1[[#This Row],[Bullets/Shot]]*Table1[[#This Row],[Mag size]]</f>
        <v>1000</v>
      </c>
      <c r="K8">
        <f>Table1[[#This Row],[Damage per mag]]*Table1[[#This Row],[Mag count]]</f>
        <v>5000</v>
      </c>
    </row>
    <row r="9" spans="1:11" x14ac:dyDescent="0.25">
      <c r="A9" t="s">
        <v>8</v>
      </c>
      <c r="B9">
        <v>25</v>
      </c>
      <c r="C9">
        <v>0.05</v>
      </c>
      <c r="D9">
        <v>1</v>
      </c>
      <c r="E9">
        <v>15</v>
      </c>
      <c r="F9">
        <v>10</v>
      </c>
      <c r="G9">
        <f>Table1[[#This Row],[Mag size]]*Table1[[#This Row],[Mag count]]</f>
        <v>150</v>
      </c>
      <c r="H9">
        <f>Table1[[#This Row],[Mag size]]+Table1[[#This Row],[Spare ammo count]]</f>
        <v>165</v>
      </c>
      <c r="I9">
        <f>Table1[[#This Row],[Damage/Bullet]]*Table1[[#This Row],[Bullets/Shot]]/Table1[[#This Row],[Fire rate]]</f>
        <v>500</v>
      </c>
      <c r="J9">
        <f>Table1[[#This Row],[Damage/Bullet]]*Table1[[#This Row],[Bullets/Shot]]*Table1[[#This Row],[Mag size]]</f>
        <v>375</v>
      </c>
      <c r="K9">
        <f>Table1[[#This Row],[Damage per mag]]*Table1[[#This Row],[Mag count]]</f>
        <v>3750</v>
      </c>
    </row>
    <row r="10" spans="1:11" x14ac:dyDescent="0.25">
      <c r="A10" t="s">
        <v>7</v>
      </c>
      <c r="B10">
        <v>25</v>
      </c>
      <c r="C10">
        <v>0.05</v>
      </c>
      <c r="D10">
        <v>1</v>
      </c>
      <c r="E10">
        <v>30</v>
      </c>
      <c r="F10">
        <v>5</v>
      </c>
      <c r="G10">
        <f>Table1[[#This Row],[Mag size]]*Table1[[#This Row],[Mag count]]</f>
        <v>150</v>
      </c>
      <c r="H10">
        <f>Table1[[#This Row],[Mag size]]+Table1[[#This Row],[Spare ammo count]]</f>
        <v>180</v>
      </c>
      <c r="I10">
        <f>Table1[[#This Row],[Damage/Bullet]]*Table1[[#This Row],[Bullets/Shot]]/Table1[[#This Row],[Fire rate]]</f>
        <v>500</v>
      </c>
      <c r="J10">
        <f>Table1[[#This Row],[Damage/Bullet]]*Table1[[#This Row],[Bullets/Shot]]*Table1[[#This Row],[Mag size]]</f>
        <v>750</v>
      </c>
      <c r="K10">
        <f>Table1[[#This Row],[Damage per mag]]*Table1[[#This Row],[Mag count]]</f>
        <v>3750</v>
      </c>
    </row>
    <row r="11" spans="1:11" x14ac:dyDescent="0.25">
      <c r="A11" t="s">
        <v>16</v>
      </c>
      <c r="B11">
        <v>75</v>
      </c>
      <c r="C11">
        <v>0.5</v>
      </c>
      <c r="D11">
        <v>1</v>
      </c>
      <c r="E11">
        <v>10</v>
      </c>
      <c r="F11">
        <v>4</v>
      </c>
      <c r="G11" s="1">
        <f>Table1[[#This Row],[Mag size]]*Table1[[#This Row],[Mag count]]</f>
        <v>40</v>
      </c>
      <c r="H11" s="1">
        <f>Table1[[#This Row],[Mag size]]+Table1[[#This Row],[Spare ammo count]]</f>
        <v>50</v>
      </c>
      <c r="I11" s="1">
        <f>Table1[[#This Row],[Damage/Bullet]]*Table1[[#This Row],[Bullets/Shot]]/Table1[[#This Row],[Fire rate]]</f>
        <v>150</v>
      </c>
      <c r="J11" s="1">
        <f>Table1[[#This Row],[Damage/Bullet]]*Table1[[#This Row],[Bullets/Shot]]*Table1[[#This Row],[Mag size]]</f>
        <v>750</v>
      </c>
      <c r="K11" s="1">
        <f>Table1[[#This Row],[Damage per mag]]*Table1[[#This Row],[Mag count]]</f>
        <v>3000</v>
      </c>
    </row>
    <row r="12" spans="1:11" x14ac:dyDescent="0.25">
      <c r="A12" t="s">
        <v>17</v>
      </c>
      <c r="B12">
        <v>200</v>
      </c>
      <c r="C12">
        <v>2</v>
      </c>
      <c r="D12">
        <v>1</v>
      </c>
      <c r="E12">
        <v>1</v>
      </c>
      <c r="F12">
        <v>10</v>
      </c>
      <c r="G12" s="1">
        <f>Table1[[#This Row],[Mag size]]*Table1[[#This Row],[Mag count]]</f>
        <v>10</v>
      </c>
      <c r="H12" s="1">
        <f>Table1[[#This Row],[Mag size]]+Table1[[#This Row],[Spare ammo count]]</f>
        <v>11</v>
      </c>
      <c r="I12" s="1">
        <f>Table1[[#This Row],[Damage/Bullet]]*Table1[[#This Row],[Bullets/Shot]]/Table1[[#This Row],[Fire rate]]</f>
        <v>100</v>
      </c>
      <c r="J12" s="1">
        <f>Table1[[#This Row],[Damage/Bullet]]*Table1[[#This Row],[Bullets/Shot]]*Table1[[#This Row],[Mag size]]</f>
        <v>200</v>
      </c>
      <c r="K12" s="1">
        <f>Table1[[#This Row],[Damage per mag]]*Table1[[#This Row],[Mag count]]</f>
        <v>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Григоренко</dc:creator>
  <cp:lastModifiedBy>Павел Григоренко</cp:lastModifiedBy>
  <dcterms:created xsi:type="dcterms:W3CDTF">2015-06-05T18:17:20Z</dcterms:created>
  <dcterms:modified xsi:type="dcterms:W3CDTF">2026-01-21T12:22:27Z</dcterms:modified>
</cp:coreProperties>
</file>